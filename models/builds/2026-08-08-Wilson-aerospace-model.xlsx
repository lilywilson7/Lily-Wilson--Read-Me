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lilywilson/Desktop/"/>
    </mc:Choice>
  </mc:AlternateContent>
  <xr:revisionPtr revIDLastSave="0" documentId="8_{89389F62-FE36-3B4D-B72D-19337DBBCD9D}" xr6:coauthVersionLast="47" xr6:coauthVersionMax="47" xr10:uidLastSave="{00000000-0000-0000-0000-000000000000}"/>
  <bookViews>
    <workbookView xWindow="16160" yWindow="12400" windowWidth="16420" windowHeight="17160" activeTab="5" xr2:uid="{00000000-000D-0000-FFFF-FFFF00000000}"/>
  </bookViews>
  <sheets>
    <sheet name="Cover" sheetId="1" r:id="rId1"/>
    <sheet name="Legend_Key" sheetId="2" r:id="rId2"/>
    <sheet name="Inputs" sheetId="3" r:id="rId3"/>
    <sheet name="No_Hedge" sheetId="4" r:id="rId4"/>
    <sheet name="Forward" sheetId="5" r:id="rId5"/>
    <sheet name="Money_Market" sheetId="6" r:id="rId6"/>
    <sheet name="Options" sheetId="7" r:id="rId7"/>
    <sheet name="Sensitivity" sheetId="8" r:id="rId8"/>
    <sheet name="Notes_Assumptions" sheetId="9" r:id="rId9"/>
  </sheets>
  <definedNames>
    <definedName name="F0_in">Inputs!$B$6</definedName>
    <definedName name="FC_AMT">Inputs!$B$4</definedName>
    <definedName name="K_CALL">Inputs!$B$10</definedName>
    <definedName name="K_PUT">Inputs!$B$9</definedName>
    <definedName name="PREM_CALL">Inputs!$B$12</definedName>
    <definedName name="PREM_PUT">Inputs!$B$11</definedName>
    <definedName name="R_FC">Inputs!$B$8</definedName>
    <definedName name="R_USD">Inputs!$B$7</definedName>
    <definedName name="S0_in">Inputs!$B$5</definedName>
    <definedName name="T_DAYS">Inputs!$B$13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3" roundtripDataChecksum="N1Qo8dPWY/OlduJbkme0WRmYsDdtbVaVxXCIWyr1Qyg="/>
    </ext>
  </extLst>
</workbook>
</file>

<file path=xl/calcChain.xml><?xml version="1.0" encoding="utf-8"?>
<calcChain xmlns="http://schemas.openxmlformats.org/spreadsheetml/2006/main">
  <c r="A14" i="8" l="1"/>
  <c r="E14" i="8" s="1"/>
  <c r="A13" i="8"/>
  <c r="E13" i="8" s="1"/>
  <c r="A12" i="8"/>
  <c r="A11" i="8"/>
  <c r="A10" i="8"/>
  <c r="E10" i="8" s="1"/>
  <c r="A9" i="8"/>
  <c r="A8" i="8"/>
  <c r="A7" i="8"/>
  <c r="A6" i="8"/>
  <c r="E6" i="8" s="1"/>
  <c r="A5" i="8"/>
  <c r="A4" i="8"/>
  <c r="B8" i="7"/>
  <c r="B5" i="7"/>
  <c r="B3" i="7"/>
  <c r="B7" i="6"/>
  <c r="B3" i="6"/>
  <c r="B4" i="6" s="1"/>
  <c r="B5" i="6" s="1"/>
  <c r="B4" i="4"/>
  <c r="B6" i="3"/>
  <c r="B3" i="5" s="1"/>
  <c r="B8" i="6" l="1"/>
  <c r="B9" i="6" s="1"/>
  <c r="F11" i="8"/>
  <c r="E11" i="8"/>
  <c r="B11" i="8"/>
  <c r="F7" i="8"/>
  <c r="E7" i="8"/>
  <c r="B7" i="8"/>
  <c r="B4" i="7"/>
  <c r="B6" i="7" s="1"/>
  <c r="B7" i="7"/>
  <c r="B9" i="7" s="1"/>
  <c r="F14" i="8"/>
  <c r="B14" i="8"/>
  <c r="F13" i="8"/>
  <c r="B13" i="8"/>
  <c r="B12" i="8"/>
  <c r="F12" i="8"/>
  <c r="E12" i="8"/>
  <c r="F10" i="8"/>
  <c r="B10" i="8"/>
  <c r="F9" i="8"/>
  <c r="E9" i="8"/>
  <c r="B9" i="8"/>
  <c r="F8" i="8"/>
  <c r="E8" i="8"/>
  <c r="B8" i="8"/>
  <c r="B6" i="8"/>
  <c r="F6" i="8"/>
  <c r="F5" i="8"/>
  <c r="E5" i="8"/>
  <c r="B5" i="8"/>
  <c r="B4" i="8"/>
  <c r="F4" i="8"/>
  <c r="E4" i="8"/>
  <c r="D4" i="8"/>
  <c r="D5" i="8"/>
  <c r="D6" i="8"/>
  <c r="D7" i="8"/>
  <c r="D8" i="8"/>
  <c r="D9" i="8"/>
  <c r="D10" i="8"/>
  <c r="D11" i="8"/>
  <c r="D12" i="8"/>
  <c r="D13" i="8"/>
  <c r="D14" i="8"/>
  <c r="B5" i="5"/>
  <c r="C4" i="8"/>
  <c r="C5" i="8"/>
  <c r="C6" i="8"/>
  <c r="C7" i="8"/>
  <c r="C8" i="8"/>
  <c r="C9" i="8"/>
  <c r="C10" i="8"/>
  <c r="C11" i="8"/>
  <c r="C12" i="8"/>
  <c r="C13" i="8"/>
  <c r="C14" i="8"/>
</calcChain>
</file>

<file path=xl/sharedStrings.xml><?xml version="1.0" encoding="utf-8"?>
<sst xmlns="http://schemas.openxmlformats.org/spreadsheetml/2006/main" count="102" uniqueCount="93">
  <si>
    <t>Legend / Key</t>
  </si>
  <si>
    <t>Inputs — Named Range Contract</t>
  </si>
  <si>
    <t>FIN 321 — FX Hedging Model</t>
  </si>
  <si>
    <t>Unhedged / No Hedge</t>
  </si>
  <si>
    <t>Yellow</t>
  </si>
  <si>
    <t>Scenario</t>
  </si>
  <si>
    <t>Name</t>
  </si>
  <si>
    <t>Inputs</t>
  </si>
  <si>
    <t>U.S. Aerospace Manufacturer (aerospace)</t>
  </si>
  <si>
    <t>Placeholder / Value</t>
  </si>
  <si>
    <t>Ending spot S_T</t>
  </si>
  <si>
    <t>Unit</t>
  </si>
  <si>
    <t>Blue</t>
  </si>
  <si>
    <t>Author</t>
  </si>
  <si>
    <t>Lily Wilson</t>
  </si>
  <si>
    <t>Status / Phase-4 source</t>
  </si>
  <si>
    <t>Assumptions</t>
  </si>
  <si>
    <t>Date</t>
  </si>
  <si>
    <t>2026-08-08</t>
  </si>
  <si>
    <t>Green</t>
  </si>
  <si>
    <t>USD proceeds</t>
  </si>
  <si>
    <t>FC_AMT</t>
  </si>
  <si>
    <t>Exposure</t>
  </si>
  <si>
    <t>Formulas</t>
  </si>
  <si>
    <t>EUR 20,000,000 receivable</t>
  </si>
  <si>
    <t>Timing</t>
  </si>
  <si>
    <t>EUR</t>
  </si>
  <si>
    <t>365 days to settlement</t>
  </si>
  <si>
    <t>Gray</t>
  </si>
  <si>
    <t>Assigned scenario transaction assumption.</t>
  </si>
  <si>
    <t>Outputs</t>
  </si>
  <si>
    <t>Data provenance</t>
  </si>
  <si>
    <t>Phase 3 indicative placeholders; replace with live, sourced, timestamped market data at Phase 4.</t>
  </si>
  <si>
    <t>S0_in</t>
  </si>
  <si>
    <t>USD/EUR</t>
  </si>
  <si>
    <t>ECB EUR/USD reference rate, August 14, 2026; 1.1567 USD/EUR.</t>
  </si>
  <si>
    <t>F0_in</t>
  </si>
  <si>
    <t>Build status</t>
  </si>
  <si>
    <t>Note</t>
  </si>
  <si>
    <t>B3 is a scenario variable for settlement; sensitivity tab varies it formulaically.</t>
  </si>
  <si>
    <t>Phase 3 generated workbook — audit required before final submission.</t>
  </si>
  <si>
    <t>CIP-implied 1-year forward calculated from live spot and selected interest rates; no live forward quote used.</t>
  </si>
  <si>
    <t>R_USD</t>
  </si>
  <si>
    <t>Annual %</t>
  </si>
  <si>
    <t>Federal Reserve H.15, 1-year Treasury bill secondary-market yield, August 13, 2026; 3.80%.</t>
  </si>
  <si>
    <t>R_FC</t>
  </si>
  <si>
    <t>12-month EURIBOR, Bank of Finland/Euribor reference data; August 13, 2026 observation; 2.943%.</t>
  </si>
  <si>
    <t>K_PUT</t>
  </si>
  <si>
    <t>Set at live spot (1.1567 USD/EUR) per scenario convention.</t>
  </si>
  <si>
    <t>K_CALL</t>
  </si>
  <si>
    <t>PREM_PUT</t>
  </si>
  <si>
    <t>Scenario-given premium; retained as instructed by assignment.</t>
  </si>
  <si>
    <t>PREM_CALL</t>
  </si>
  <si>
    <t>T_DAYS</t>
  </si>
  <si>
    <t>Days</t>
  </si>
  <si>
    <t>Assigned 365-day settlement assumption; ACT/360 rate accrual.</t>
  </si>
  <si>
    <t>Forward Hedge</t>
  </si>
  <si>
    <t>Forward proceeds</t>
  </si>
  <si>
    <t>Money-Market Hedge — Three Steps</t>
  </si>
  <si>
    <t>Check</t>
  </si>
  <si>
    <t>Step 1 — FC borrowing</t>
  </si>
  <si>
    <t>Options — Put Floor and Call Participation</t>
  </si>
  <si>
    <t>Step 2 — USD now</t>
  </si>
  <si>
    <t>Step 3 — USD proceeds</t>
  </si>
  <si>
    <t>Put gross proceeds</t>
  </si>
  <si>
    <t>Implied forward</t>
  </si>
  <si>
    <t>Put premium cost USD</t>
  </si>
  <si>
    <t>Parity difference</t>
  </si>
  <si>
    <t>Put net proceeds</t>
  </si>
  <si>
    <t>Call participation payoff</t>
  </si>
  <si>
    <t>Parity check</t>
  </si>
  <si>
    <t>Call premium cost USD</t>
  </si>
  <si>
    <t>Call net payoff after premium</t>
  </si>
  <si>
    <t>Notes &amp; Assumptions</t>
  </si>
  <si>
    <t>Rate basis</t>
  </si>
  <si>
    <t>ACT/360 for R_USD and R_FC.</t>
  </si>
  <si>
    <t>Transaction costs</t>
  </si>
  <si>
    <t>Assumed zero in Phase 3; incorporate sourced costs/spreads in Phase 4 if available.</t>
  </si>
  <si>
    <t>Parity</t>
  </si>
  <si>
    <t>Covered interest parity is expected; MM proceeds should approximately equal forward proceeds when inputs are parity-consistent.</t>
  </si>
  <si>
    <t>Premium treatment</t>
  </si>
  <si>
    <t>Option premiums are paid up front in USD and deducted from settlement proceeds/payoff.</t>
  </si>
  <si>
    <t>Options</t>
  </si>
  <si>
    <t>Put provides downside floor; call payoff is shown as participation above strike, net of premium.</t>
  </si>
  <si>
    <t>Validation</t>
  </si>
  <si>
    <t>No error cells; outputs are formulas; parity check visible; sensitivity table is formula-driven.</t>
  </si>
  <si>
    <t>Sensitivity — Settlement Spot ±5% in 1% Steps</t>
  </si>
  <si>
    <t>S_T</t>
  </si>
  <si>
    <t>No Hedge Proceeds</t>
  </si>
  <si>
    <t>Forward Proceeds</t>
  </si>
  <si>
    <t>MM Proceeds</t>
  </si>
  <si>
    <t>Put Net Proceeds</t>
  </si>
  <si>
    <t>Call Net Payoff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</si>
</sst>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2" borderId="0" xfId="0" applyFont="1" applyFill="1"/>
    <xf numFmtId="0" fontId="2" fillId="5" borderId="1" xfId="0" applyFont="1" applyFill="1" applyBorder="1" applyAlignment="1">
      <alignment vertical="top" wrapText="1"/>
    </xf>
    <xf numFmtId="0" fontId="4" fillId="0" borderId="0" xfId="0" applyFont="1"/>
    <xf numFmtId="0" fontId="3" fillId="5" borderId="1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FX Hedge Proceeds by Settlement Spot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No Hedge Proceeds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Sensitivity!$A$4:$A$14</c:f>
              <c:numCache>
                <c:formatCode>General</c:formatCode>
                <c:ptCount val="11"/>
                <c:pt idx="0">
                  <c:v>1.098865</c:v>
                </c:pt>
                <c:pt idx="1">
                  <c:v>1.1104320000000001</c:v>
                </c:pt>
                <c:pt idx="2">
                  <c:v>1.121999</c:v>
                </c:pt>
                <c:pt idx="3">
                  <c:v>1.1335660000000001</c:v>
                </c:pt>
                <c:pt idx="4">
                  <c:v>1.145133</c:v>
                </c:pt>
                <c:pt idx="5">
                  <c:v>1.1567000000000001</c:v>
                </c:pt>
                <c:pt idx="6">
                  <c:v>1.1682670000000002</c:v>
                </c:pt>
                <c:pt idx="7">
                  <c:v>1.179834</c:v>
                </c:pt>
                <c:pt idx="8">
                  <c:v>1.1914010000000002</c:v>
                </c:pt>
                <c:pt idx="9">
                  <c:v>1.202968</c:v>
                </c:pt>
                <c:pt idx="10">
                  <c:v>1.2145350000000001</c:v>
                </c:pt>
              </c:numCache>
            </c:numRef>
          </c:cat>
          <c:val>
            <c:numRef>
              <c:f>Sensitivity!$B$4:$B$14</c:f>
              <c:numCache>
                <c:formatCode>General</c:formatCode>
                <c:ptCount val="11"/>
                <c:pt idx="0">
                  <c:v>21977300</c:v>
                </c:pt>
                <c:pt idx="1">
                  <c:v>22208640</c:v>
                </c:pt>
                <c:pt idx="2">
                  <c:v>22439980</c:v>
                </c:pt>
                <c:pt idx="3">
                  <c:v>22671320</c:v>
                </c:pt>
                <c:pt idx="4">
                  <c:v>22902660</c:v>
                </c:pt>
                <c:pt idx="5">
                  <c:v>23134000</c:v>
                </c:pt>
                <c:pt idx="6">
                  <c:v>23365340.000000004</c:v>
                </c:pt>
                <c:pt idx="7">
                  <c:v>23596680</c:v>
                </c:pt>
                <c:pt idx="8">
                  <c:v>23828020.000000004</c:v>
                </c:pt>
                <c:pt idx="9">
                  <c:v>24059360</c:v>
                </c:pt>
                <c:pt idx="10">
                  <c:v>24290700.000000004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B4-5442-8123-A60B7B819735}"/>
            </c:ext>
          </c:extLst>
        </c:ser>
        <c:ser>
          <c:idx val="1"/>
          <c:order val="1"/>
          <c:tx>
            <c:v>Forward Proceeds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Sensitivity!$A$4:$A$14</c:f>
              <c:numCache>
                <c:formatCode>General</c:formatCode>
                <c:ptCount val="11"/>
                <c:pt idx="0">
                  <c:v>1.098865</c:v>
                </c:pt>
                <c:pt idx="1">
                  <c:v>1.1104320000000001</c:v>
                </c:pt>
                <c:pt idx="2">
                  <c:v>1.121999</c:v>
                </c:pt>
                <c:pt idx="3">
                  <c:v>1.1335660000000001</c:v>
                </c:pt>
                <c:pt idx="4">
                  <c:v>1.145133</c:v>
                </c:pt>
                <c:pt idx="5">
                  <c:v>1.1567000000000001</c:v>
                </c:pt>
                <c:pt idx="6">
                  <c:v>1.1682670000000002</c:v>
                </c:pt>
                <c:pt idx="7">
                  <c:v>1.179834</c:v>
                </c:pt>
                <c:pt idx="8">
                  <c:v>1.1914010000000002</c:v>
                </c:pt>
                <c:pt idx="9">
                  <c:v>1.202968</c:v>
                </c:pt>
                <c:pt idx="10">
                  <c:v>1.2145350000000001</c:v>
                </c:pt>
              </c:numCache>
            </c:numRef>
          </c:cat>
          <c:val>
            <c:numRef>
              <c:f>Sensitivity!$C$4:$C$14</c:f>
              <c:numCache>
                <c:formatCode>General</c:formatCode>
                <c:ptCount val="11"/>
                <c:pt idx="0">
                  <c:v>23329187.808393415</c:v>
                </c:pt>
                <c:pt idx="1">
                  <c:v>23329187.808393415</c:v>
                </c:pt>
                <c:pt idx="2">
                  <c:v>23329187.808393415</c:v>
                </c:pt>
                <c:pt idx="3">
                  <c:v>23329187.808393415</c:v>
                </c:pt>
                <c:pt idx="4">
                  <c:v>23329187.808393415</c:v>
                </c:pt>
                <c:pt idx="5">
                  <c:v>23329187.808393415</c:v>
                </c:pt>
                <c:pt idx="6">
                  <c:v>23329187.808393415</c:v>
                </c:pt>
                <c:pt idx="7">
                  <c:v>23329187.808393415</c:v>
                </c:pt>
                <c:pt idx="8">
                  <c:v>23329187.808393415</c:v>
                </c:pt>
                <c:pt idx="9">
                  <c:v>23329187.808393415</c:v>
                </c:pt>
                <c:pt idx="10">
                  <c:v>23329187.808393415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B4-5442-8123-A60B7B819735}"/>
            </c:ext>
          </c:extLst>
        </c:ser>
        <c:ser>
          <c:idx val="2"/>
          <c:order val="2"/>
          <c:tx>
            <c:v>MM Proceeds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Sensitivity!$A$4:$A$14</c:f>
              <c:numCache>
                <c:formatCode>General</c:formatCode>
                <c:ptCount val="11"/>
                <c:pt idx="0">
                  <c:v>1.098865</c:v>
                </c:pt>
                <c:pt idx="1">
                  <c:v>1.1104320000000001</c:v>
                </c:pt>
                <c:pt idx="2">
                  <c:v>1.121999</c:v>
                </c:pt>
                <c:pt idx="3">
                  <c:v>1.1335660000000001</c:v>
                </c:pt>
                <c:pt idx="4">
                  <c:v>1.145133</c:v>
                </c:pt>
                <c:pt idx="5">
                  <c:v>1.1567000000000001</c:v>
                </c:pt>
                <c:pt idx="6">
                  <c:v>1.1682670000000002</c:v>
                </c:pt>
                <c:pt idx="7">
                  <c:v>1.179834</c:v>
                </c:pt>
                <c:pt idx="8">
                  <c:v>1.1914010000000002</c:v>
                </c:pt>
                <c:pt idx="9">
                  <c:v>1.202968</c:v>
                </c:pt>
                <c:pt idx="10">
                  <c:v>1.2145350000000001</c:v>
                </c:pt>
              </c:numCache>
            </c:numRef>
          </c:cat>
          <c:val>
            <c:numRef>
              <c:f>Sensitivity!$D$4:$D$14</c:f>
              <c:numCache>
                <c:formatCode>General</c:formatCode>
                <c:ptCount val="11"/>
                <c:pt idx="0">
                  <c:v>23329187.808393415</c:v>
                </c:pt>
                <c:pt idx="1">
                  <c:v>23329187.808393415</c:v>
                </c:pt>
                <c:pt idx="2">
                  <c:v>23329187.808393415</c:v>
                </c:pt>
                <c:pt idx="3">
                  <c:v>23329187.808393415</c:v>
                </c:pt>
                <c:pt idx="4">
                  <c:v>23329187.808393415</c:v>
                </c:pt>
                <c:pt idx="5">
                  <c:v>23329187.808393415</c:v>
                </c:pt>
                <c:pt idx="6">
                  <c:v>23329187.808393415</c:v>
                </c:pt>
                <c:pt idx="7">
                  <c:v>23329187.808393415</c:v>
                </c:pt>
                <c:pt idx="8">
                  <c:v>23329187.808393415</c:v>
                </c:pt>
                <c:pt idx="9">
                  <c:v>23329187.808393415</c:v>
                </c:pt>
                <c:pt idx="10">
                  <c:v>23329187.808393415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5B4-5442-8123-A60B7B819735}"/>
            </c:ext>
          </c:extLst>
        </c:ser>
        <c:ser>
          <c:idx val="3"/>
          <c:order val="3"/>
          <c:tx>
            <c:v>Put Net Proceeds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Sensitivity!$A$4:$A$14</c:f>
              <c:numCache>
                <c:formatCode>General</c:formatCode>
                <c:ptCount val="11"/>
                <c:pt idx="0">
                  <c:v>1.098865</c:v>
                </c:pt>
                <c:pt idx="1">
                  <c:v>1.1104320000000001</c:v>
                </c:pt>
                <c:pt idx="2">
                  <c:v>1.121999</c:v>
                </c:pt>
                <c:pt idx="3">
                  <c:v>1.1335660000000001</c:v>
                </c:pt>
                <c:pt idx="4">
                  <c:v>1.145133</c:v>
                </c:pt>
                <c:pt idx="5">
                  <c:v>1.1567000000000001</c:v>
                </c:pt>
                <c:pt idx="6">
                  <c:v>1.1682670000000002</c:v>
                </c:pt>
                <c:pt idx="7">
                  <c:v>1.179834</c:v>
                </c:pt>
                <c:pt idx="8">
                  <c:v>1.1914010000000002</c:v>
                </c:pt>
                <c:pt idx="9">
                  <c:v>1.202968</c:v>
                </c:pt>
                <c:pt idx="10">
                  <c:v>1.2145350000000001</c:v>
                </c:pt>
              </c:numCache>
            </c:numRef>
          </c:cat>
          <c:val>
            <c:numRef>
              <c:f>Sensitivity!$E$4:$E$14</c:f>
              <c:numCache>
                <c:formatCode>General</c:formatCode>
                <c:ptCount val="11"/>
                <c:pt idx="0">
                  <c:v>22754000</c:v>
                </c:pt>
                <c:pt idx="1">
                  <c:v>22754000</c:v>
                </c:pt>
                <c:pt idx="2">
                  <c:v>22754000</c:v>
                </c:pt>
                <c:pt idx="3">
                  <c:v>22754000</c:v>
                </c:pt>
                <c:pt idx="4">
                  <c:v>22754000</c:v>
                </c:pt>
                <c:pt idx="5">
                  <c:v>22754000</c:v>
                </c:pt>
                <c:pt idx="6">
                  <c:v>22985340.000000004</c:v>
                </c:pt>
                <c:pt idx="7">
                  <c:v>23216680</c:v>
                </c:pt>
                <c:pt idx="8">
                  <c:v>23448020.000000004</c:v>
                </c:pt>
                <c:pt idx="9">
                  <c:v>23679360</c:v>
                </c:pt>
                <c:pt idx="10">
                  <c:v>23910700.000000004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5B4-5442-8123-A60B7B819735}"/>
            </c:ext>
          </c:extLst>
        </c:ser>
        <c:ser>
          <c:idx val="4"/>
          <c:order val="4"/>
          <c:tx>
            <c:v>Call Net Payoff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numRef>
              <c:f>Sensitivity!$A$4:$A$14</c:f>
              <c:numCache>
                <c:formatCode>General</c:formatCode>
                <c:ptCount val="11"/>
                <c:pt idx="0">
                  <c:v>1.098865</c:v>
                </c:pt>
                <c:pt idx="1">
                  <c:v>1.1104320000000001</c:v>
                </c:pt>
                <c:pt idx="2">
                  <c:v>1.121999</c:v>
                </c:pt>
                <c:pt idx="3">
                  <c:v>1.1335660000000001</c:v>
                </c:pt>
                <c:pt idx="4">
                  <c:v>1.145133</c:v>
                </c:pt>
                <c:pt idx="5">
                  <c:v>1.1567000000000001</c:v>
                </c:pt>
                <c:pt idx="6">
                  <c:v>1.1682670000000002</c:v>
                </c:pt>
                <c:pt idx="7">
                  <c:v>1.179834</c:v>
                </c:pt>
                <c:pt idx="8">
                  <c:v>1.1914010000000002</c:v>
                </c:pt>
                <c:pt idx="9">
                  <c:v>1.202968</c:v>
                </c:pt>
                <c:pt idx="10">
                  <c:v>1.2145350000000001</c:v>
                </c:pt>
              </c:numCache>
            </c:numRef>
          </c:cat>
          <c:val>
            <c:numRef>
              <c:f>Sensitivity!$F$4:$F$14</c:f>
              <c:numCache>
                <c:formatCode>General</c:formatCode>
                <c:ptCount val="11"/>
                <c:pt idx="0">
                  <c:v>-480000</c:v>
                </c:pt>
                <c:pt idx="1">
                  <c:v>-480000</c:v>
                </c:pt>
                <c:pt idx="2">
                  <c:v>-480000</c:v>
                </c:pt>
                <c:pt idx="3">
                  <c:v>-480000</c:v>
                </c:pt>
                <c:pt idx="4">
                  <c:v>-480000</c:v>
                </c:pt>
                <c:pt idx="5">
                  <c:v>-480000</c:v>
                </c:pt>
                <c:pt idx="6">
                  <c:v>-248659.9999999979</c:v>
                </c:pt>
                <c:pt idx="7">
                  <c:v>-17320.000000000233</c:v>
                </c:pt>
                <c:pt idx="8">
                  <c:v>214020.00000000186</c:v>
                </c:pt>
                <c:pt idx="9">
                  <c:v>445359.99999999953</c:v>
                </c:pt>
                <c:pt idx="10">
                  <c:v>676700.00000000163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5B4-5442-8123-A60B7B819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428415"/>
        <c:axId val="30219007"/>
      </c:lineChart>
      <c:catAx>
        <c:axId val="1712428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S_T (USD/EUR)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219007"/>
        <c:crosses val="autoZero"/>
        <c:auto val="1"/>
        <c:lblAlgn val="ctr"/>
        <c:lblOffset val="100"/>
        <c:noMultiLvlLbl val="1"/>
      </c:catAx>
      <c:valAx>
        <c:axId val="30219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USD proceeds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24284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038725" cy="2876550"/>
    <xdr:graphicFrame macro="">
      <xdr:nvGraphicFramePr>
        <xdr:cNvPr id="2015998947" name="Chart 1">
          <a:extLst>
            <a:ext uri="{FF2B5EF4-FFF2-40B4-BE49-F238E27FC236}">
              <a16:creationId xmlns:a16="http://schemas.microsoft.com/office/drawing/2014/main" id="{00000000-0008-0000-0700-0000E3B32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2" width="24" customWidth="1"/>
    <col min="3" max="8" width="18" customWidth="1"/>
    <col min="9" max="26" width="8.83203125" customWidth="1"/>
  </cols>
  <sheetData>
    <row r="1" spans="1:8" x14ac:dyDescent="0.2">
      <c r="A1" s="12" t="s">
        <v>2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32" x14ac:dyDescent="0.2">
      <c r="A3" s="3" t="s">
        <v>5</v>
      </c>
      <c r="B3" s="1" t="s">
        <v>8</v>
      </c>
      <c r="C3" s="1"/>
      <c r="D3" s="1"/>
      <c r="E3" s="1"/>
      <c r="F3" s="1"/>
      <c r="G3" s="1"/>
      <c r="H3" s="1"/>
    </row>
    <row r="4" spans="1:8" ht="16" x14ac:dyDescent="0.2">
      <c r="A4" s="3" t="s">
        <v>13</v>
      </c>
      <c r="B4" s="1" t="s">
        <v>14</v>
      </c>
      <c r="C4" s="1"/>
      <c r="D4" s="1"/>
      <c r="E4" s="1"/>
      <c r="F4" s="1"/>
      <c r="G4" s="1"/>
      <c r="H4" s="1"/>
    </row>
    <row r="5" spans="1:8" ht="16" x14ac:dyDescent="0.2">
      <c r="A5" s="3" t="s">
        <v>17</v>
      </c>
      <c r="B5" s="1" t="s">
        <v>18</v>
      </c>
      <c r="C5" s="1"/>
      <c r="D5" s="1"/>
      <c r="E5" s="1"/>
      <c r="F5" s="1"/>
      <c r="G5" s="1"/>
      <c r="H5" s="1"/>
    </row>
    <row r="6" spans="1:8" ht="16" x14ac:dyDescent="0.2">
      <c r="A6" s="3" t="s">
        <v>22</v>
      </c>
      <c r="B6" s="1" t="s">
        <v>24</v>
      </c>
      <c r="C6" s="1"/>
      <c r="D6" s="1"/>
      <c r="E6" s="1"/>
      <c r="F6" s="1"/>
      <c r="G6" s="1"/>
      <c r="H6" s="1"/>
    </row>
    <row r="7" spans="1:8" ht="16" x14ac:dyDescent="0.2">
      <c r="A7" s="3" t="s">
        <v>25</v>
      </c>
      <c r="B7" s="1" t="s">
        <v>27</v>
      </c>
      <c r="C7" s="1"/>
      <c r="D7" s="1"/>
      <c r="E7" s="1"/>
      <c r="F7" s="1"/>
      <c r="G7" s="1"/>
      <c r="H7" s="1"/>
    </row>
    <row r="8" spans="1:8" ht="64" x14ac:dyDescent="0.2">
      <c r="A8" s="3" t="s">
        <v>31</v>
      </c>
      <c r="B8" s="1" t="s">
        <v>32</v>
      </c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ht="48" x14ac:dyDescent="0.2">
      <c r="A11" s="10" t="s">
        <v>37</v>
      </c>
      <c r="B11" s="1" t="s">
        <v>40</v>
      </c>
      <c r="C11" s="1"/>
      <c r="D11" s="1"/>
      <c r="E11" s="1"/>
      <c r="F11" s="1"/>
      <c r="G11" s="1"/>
      <c r="H11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2" width="24" customWidth="1"/>
    <col min="3" max="8" width="18" customWidth="1"/>
    <col min="9" max="26" width="8.83203125" customWidth="1"/>
  </cols>
  <sheetData>
    <row r="1" spans="1:8" x14ac:dyDescent="0.2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16" x14ac:dyDescent="0.2">
      <c r="A3" s="2" t="s">
        <v>4</v>
      </c>
      <c r="B3" s="1" t="s">
        <v>7</v>
      </c>
      <c r="C3" s="1"/>
      <c r="D3" s="1"/>
      <c r="E3" s="1"/>
      <c r="F3" s="1"/>
      <c r="G3" s="1"/>
      <c r="H3" s="1"/>
    </row>
    <row r="4" spans="1:8" ht="16" x14ac:dyDescent="0.2">
      <c r="A4" s="4" t="s">
        <v>12</v>
      </c>
      <c r="B4" s="1" t="s">
        <v>16</v>
      </c>
      <c r="C4" s="1"/>
      <c r="D4" s="1"/>
      <c r="E4" s="1"/>
      <c r="F4" s="1"/>
      <c r="G4" s="1"/>
      <c r="H4" s="1"/>
    </row>
    <row r="5" spans="1:8" ht="16" x14ac:dyDescent="0.2">
      <c r="A5" s="5" t="s">
        <v>19</v>
      </c>
      <c r="B5" s="1" t="s">
        <v>23</v>
      </c>
      <c r="C5" s="1"/>
      <c r="D5" s="1"/>
      <c r="E5" s="1"/>
      <c r="F5" s="1"/>
      <c r="G5" s="1"/>
      <c r="H5" s="1"/>
    </row>
    <row r="6" spans="1:8" ht="16" x14ac:dyDescent="0.2">
      <c r="A6" s="8" t="s">
        <v>28</v>
      </c>
      <c r="B6" s="1" t="s">
        <v>30</v>
      </c>
      <c r="C6" s="1"/>
      <c r="D6" s="1"/>
      <c r="E6" s="1"/>
      <c r="F6" s="1"/>
      <c r="G6" s="1"/>
      <c r="H6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>
      <pane ySplit="1" topLeftCell="A2" activePane="bottomLeft" state="frozen"/>
      <selection pane="bottomLeft" activeCell="C29" sqref="C29"/>
    </sheetView>
  </sheetViews>
  <sheetFormatPr baseColWidth="10" defaultColWidth="14.5" defaultRowHeight="15" customHeight="1" x14ac:dyDescent="0.2"/>
  <cols>
    <col min="1" max="1" width="20" customWidth="1"/>
    <col min="2" max="2" width="22" customWidth="1"/>
    <col min="3" max="3" width="18" customWidth="1"/>
    <col min="4" max="4" width="72" customWidth="1"/>
    <col min="5" max="8" width="18" customWidth="1"/>
    <col min="9" max="26" width="8.83203125" customWidth="1"/>
  </cols>
  <sheetData>
    <row r="1" spans="1:8" x14ac:dyDescent="0.2">
      <c r="A1" s="12" t="s">
        <v>1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16" x14ac:dyDescent="0.2">
      <c r="A3" s="3" t="s">
        <v>6</v>
      </c>
      <c r="B3" s="3" t="s">
        <v>9</v>
      </c>
      <c r="C3" s="3" t="s">
        <v>11</v>
      </c>
      <c r="D3" s="3" t="s">
        <v>15</v>
      </c>
      <c r="E3" s="1"/>
      <c r="F3" s="1"/>
      <c r="G3" s="1"/>
      <c r="H3" s="1"/>
    </row>
    <row r="4" spans="1:8" ht="16" x14ac:dyDescent="0.2">
      <c r="A4" s="6" t="s">
        <v>21</v>
      </c>
      <c r="B4" s="7">
        <v>20000000</v>
      </c>
      <c r="C4" s="6" t="s">
        <v>26</v>
      </c>
      <c r="D4" s="9" t="s">
        <v>29</v>
      </c>
      <c r="E4" s="1"/>
      <c r="F4" s="1"/>
      <c r="G4" s="1"/>
      <c r="H4" s="1"/>
    </row>
    <row r="5" spans="1:8" ht="16" x14ac:dyDescent="0.2">
      <c r="A5" s="6" t="s">
        <v>33</v>
      </c>
      <c r="B5" s="7">
        <v>1.1567000000000001</v>
      </c>
      <c r="C5" s="6" t="s">
        <v>34</v>
      </c>
      <c r="D5" s="9" t="s">
        <v>35</v>
      </c>
      <c r="E5" s="1"/>
      <c r="F5" s="1"/>
      <c r="G5" s="1"/>
      <c r="H5" s="1"/>
    </row>
    <row r="6" spans="1:8" ht="16" x14ac:dyDescent="0.2">
      <c r="A6" s="6" t="s">
        <v>36</v>
      </c>
      <c r="B6" s="7">
        <f>S0_in*(1+R_USD*T_DAYS/360)/(1+R_FC*T_DAYS/360)</f>
        <v>1.1664593904196707</v>
      </c>
      <c r="C6" s="6" t="s">
        <v>34</v>
      </c>
      <c r="D6" s="9" t="s">
        <v>41</v>
      </c>
      <c r="E6" s="1"/>
      <c r="F6" s="1"/>
      <c r="G6" s="1"/>
      <c r="H6" s="1"/>
    </row>
    <row r="7" spans="1:8" ht="16" x14ac:dyDescent="0.2">
      <c r="A7" s="6" t="s">
        <v>42</v>
      </c>
      <c r="B7" s="7">
        <v>3.7999999999999999E-2</v>
      </c>
      <c r="C7" s="6" t="s">
        <v>43</v>
      </c>
      <c r="D7" s="9" t="s">
        <v>44</v>
      </c>
      <c r="E7" s="1"/>
      <c r="F7" s="1"/>
      <c r="G7" s="1"/>
      <c r="H7" s="1"/>
    </row>
    <row r="8" spans="1:8" ht="16" x14ac:dyDescent="0.2">
      <c r="A8" s="6" t="s">
        <v>45</v>
      </c>
      <c r="B8" s="7">
        <v>2.9430000000000001E-2</v>
      </c>
      <c r="C8" s="6" t="s">
        <v>43</v>
      </c>
      <c r="D8" s="9" t="s">
        <v>46</v>
      </c>
      <c r="E8" s="1"/>
      <c r="F8" s="1"/>
      <c r="G8" s="1"/>
      <c r="H8" s="1"/>
    </row>
    <row r="9" spans="1:8" ht="16" x14ac:dyDescent="0.2">
      <c r="A9" s="6" t="s">
        <v>47</v>
      </c>
      <c r="B9" s="7">
        <v>1.1567000000000001</v>
      </c>
      <c r="C9" s="6" t="s">
        <v>34</v>
      </c>
      <c r="D9" s="9" t="s">
        <v>48</v>
      </c>
      <c r="E9" s="1"/>
      <c r="F9" s="1"/>
      <c r="G9" s="1"/>
      <c r="H9" s="1"/>
    </row>
    <row r="10" spans="1:8" ht="16" x14ac:dyDescent="0.2">
      <c r="A10" s="6" t="s">
        <v>49</v>
      </c>
      <c r="B10" s="7">
        <v>1.1567000000000001</v>
      </c>
      <c r="C10" s="6" t="s">
        <v>34</v>
      </c>
      <c r="D10" s="9" t="s">
        <v>48</v>
      </c>
      <c r="E10" s="1"/>
      <c r="F10" s="1"/>
      <c r="G10" s="1"/>
      <c r="H10" s="1"/>
    </row>
    <row r="11" spans="1:8" ht="16" x14ac:dyDescent="0.2">
      <c r="A11" s="6" t="s">
        <v>50</v>
      </c>
      <c r="B11" s="7">
        <v>1.9E-2</v>
      </c>
      <c r="C11" s="6" t="s">
        <v>34</v>
      </c>
      <c r="D11" s="9" t="s">
        <v>51</v>
      </c>
      <c r="E11" s="1"/>
      <c r="F11" s="1"/>
      <c r="G11" s="1"/>
      <c r="H11" s="1"/>
    </row>
    <row r="12" spans="1:8" ht="16" x14ac:dyDescent="0.2">
      <c r="A12" s="6" t="s">
        <v>52</v>
      </c>
      <c r="B12" s="7">
        <v>2.4E-2</v>
      </c>
      <c r="C12" s="6" t="s">
        <v>34</v>
      </c>
      <c r="D12" s="9" t="s">
        <v>51</v>
      </c>
      <c r="E12" s="1"/>
      <c r="F12" s="1"/>
      <c r="G12" s="1"/>
      <c r="H12" s="1"/>
    </row>
    <row r="13" spans="1:8" ht="16" x14ac:dyDescent="0.2">
      <c r="A13" s="6" t="s">
        <v>53</v>
      </c>
      <c r="B13" s="11">
        <v>365</v>
      </c>
      <c r="C13" s="6" t="s">
        <v>54</v>
      </c>
      <c r="D13" s="9" t="s">
        <v>55</v>
      </c>
      <c r="E13" s="1"/>
      <c r="F13" s="1"/>
      <c r="G13" s="1"/>
      <c r="H13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2" width="24" customWidth="1"/>
    <col min="3" max="8" width="18" customWidth="1"/>
    <col min="9" max="26" width="8.83203125" customWidth="1"/>
  </cols>
  <sheetData>
    <row r="1" spans="1:8" x14ac:dyDescent="0.2">
      <c r="A1" s="12" t="s">
        <v>3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16" x14ac:dyDescent="0.2">
      <c r="A3" s="1" t="s">
        <v>10</v>
      </c>
      <c r="B3" s="2">
        <v>1.0934999999999999</v>
      </c>
      <c r="C3" s="1"/>
      <c r="D3" s="1"/>
      <c r="E3" s="1"/>
      <c r="F3" s="1"/>
      <c r="G3" s="1"/>
      <c r="H3" s="1"/>
    </row>
    <row r="4" spans="1:8" ht="16" x14ac:dyDescent="0.2">
      <c r="A4" s="1" t="s">
        <v>20</v>
      </c>
      <c r="B4" s="5">
        <f>FC_AMT*B3</f>
        <v>21870000</v>
      </c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ht="48" x14ac:dyDescent="0.2">
      <c r="A6" s="1" t="s">
        <v>38</v>
      </c>
      <c r="B6" s="1" t="s">
        <v>39</v>
      </c>
      <c r="C6" s="1"/>
      <c r="D6" s="1"/>
      <c r="E6" s="1"/>
      <c r="F6" s="1"/>
      <c r="G6" s="1"/>
      <c r="H6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2" width="24" customWidth="1"/>
    <col min="3" max="8" width="18" customWidth="1"/>
    <col min="9" max="26" width="8.83203125" customWidth="1"/>
  </cols>
  <sheetData>
    <row r="1" spans="1:8" x14ac:dyDescent="0.2">
      <c r="A1" s="12" t="s">
        <v>56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16" x14ac:dyDescent="0.2">
      <c r="A3" s="1" t="s">
        <v>57</v>
      </c>
      <c r="B3" s="5">
        <f>FC_AMT*F0_in</f>
        <v>23329187.808393415</v>
      </c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ht="16" x14ac:dyDescent="0.2">
      <c r="A5" s="1" t="s">
        <v>59</v>
      </c>
      <c r="B5" s="8" t="str">
        <f>IF(ABS(B3-FC_AMT*F0_in)&lt;0.01,"PASS","FAIL")</f>
        <v>PASS</v>
      </c>
      <c r="C5" s="1"/>
      <c r="D5" s="1"/>
      <c r="E5" s="1"/>
      <c r="F5" s="1"/>
      <c r="G5" s="1"/>
      <c r="H5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2" width="24" customWidth="1"/>
    <col min="3" max="8" width="18" customWidth="1"/>
    <col min="9" max="26" width="8.83203125" customWidth="1"/>
  </cols>
  <sheetData>
    <row r="1" spans="1:8" x14ac:dyDescent="0.2">
      <c r="A1" s="12" t="s">
        <v>58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16" x14ac:dyDescent="0.2">
      <c r="A3" s="1" t="s">
        <v>60</v>
      </c>
      <c r="B3" s="5">
        <f>FC_AMT/(1+R_FC*T_DAYS/360)</f>
        <v>19420516.075939074</v>
      </c>
      <c r="C3" s="1"/>
      <c r="D3" s="1"/>
      <c r="E3" s="1"/>
      <c r="F3" s="1"/>
      <c r="G3" s="1"/>
      <c r="H3" s="1"/>
    </row>
    <row r="4" spans="1:8" ht="16" x14ac:dyDescent="0.2">
      <c r="A4" s="1" t="s">
        <v>62</v>
      </c>
      <c r="B4" s="5">
        <f>B3*S0_in</f>
        <v>22463710.945038728</v>
      </c>
      <c r="C4" s="1"/>
      <c r="D4" s="1"/>
      <c r="E4" s="1"/>
      <c r="F4" s="1"/>
      <c r="G4" s="1"/>
      <c r="H4" s="1"/>
    </row>
    <row r="5" spans="1:8" ht="16" x14ac:dyDescent="0.2">
      <c r="A5" s="1" t="s">
        <v>63</v>
      </c>
      <c r="B5" s="5">
        <f>B4*(1+R_USD*T_DAYS/360)</f>
        <v>23329187.808393415</v>
      </c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ht="16" x14ac:dyDescent="0.2">
      <c r="A7" s="1" t="s">
        <v>65</v>
      </c>
      <c r="B7" s="5">
        <f>S0_in*(1+R_USD*T_DAYS/360)/(1+R_FC*T_DAYS/360)</f>
        <v>1.1664593904196707</v>
      </c>
      <c r="C7" s="1"/>
      <c r="D7" s="1"/>
      <c r="E7" s="1"/>
      <c r="F7" s="1"/>
      <c r="G7" s="1"/>
      <c r="H7" s="1"/>
    </row>
    <row r="8" spans="1:8" ht="16" x14ac:dyDescent="0.2">
      <c r="A8" s="1" t="s">
        <v>67</v>
      </c>
      <c r="B8" s="5">
        <f>B7-F0_in</f>
        <v>0</v>
      </c>
      <c r="C8" s="1"/>
      <c r="D8" s="1"/>
      <c r="E8" s="1"/>
      <c r="F8" s="1"/>
      <c r="G8" s="1"/>
      <c r="H8" s="1"/>
    </row>
    <row r="9" spans="1:8" ht="16" x14ac:dyDescent="0.2">
      <c r="A9" s="1" t="s">
        <v>70</v>
      </c>
      <c r="B9" s="8" t="str">
        <f>IF(ABS(B8)&lt;0.01,"PASS","FAIL")</f>
        <v>PASS</v>
      </c>
      <c r="C9" s="1"/>
      <c r="D9" s="1"/>
      <c r="E9" s="1"/>
      <c r="F9" s="1"/>
      <c r="G9" s="1"/>
      <c r="H9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2" width="24" customWidth="1"/>
    <col min="3" max="8" width="18" customWidth="1"/>
    <col min="9" max="26" width="8.83203125" customWidth="1"/>
  </cols>
  <sheetData>
    <row r="1" spans="1:8" x14ac:dyDescent="0.2">
      <c r="A1" s="12" t="s">
        <v>61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16" x14ac:dyDescent="0.2">
      <c r="A3" s="1" t="s">
        <v>10</v>
      </c>
      <c r="B3" s="9">
        <f>S0_in</f>
        <v>1.1567000000000001</v>
      </c>
      <c r="C3" s="1"/>
      <c r="D3" s="1"/>
      <c r="E3" s="1"/>
      <c r="F3" s="1"/>
      <c r="G3" s="1"/>
      <c r="H3" s="1"/>
    </row>
    <row r="4" spans="1:8" ht="16" x14ac:dyDescent="0.2">
      <c r="A4" s="1" t="s">
        <v>64</v>
      </c>
      <c r="B4" s="5">
        <f>FC_AMT*MAX(B3,K_PUT)</f>
        <v>23134000</v>
      </c>
      <c r="C4" s="1"/>
      <c r="D4" s="1"/>
      <c r="E4" s="1"/>
      <c r="F4" s="1"/>
      <c r="G4" s="1"/>
      <c r="H4" s="1"/>
    </row>
    <row r="5" spans="1:8" ht="16" x14ac:dyDescent="0.2">
      <c r="A5" s="1" t="s">
        <v>66</v>
      </c>
      <c r="B5" s="5">
        <f>FC_AMT*PREM_PUT</f>
        <v>380000</v>
      </c>
      <c r="C5" s="1"/>
      <c r="D5" s="1"/>
      <c r="E5" s="1"/>
      <c r="F5" s="1"/>
      <c r="G5" s="1"/>
      <c r="H5" s="1"/>
    </row>
    <row r="6" spans="1:8" ht="16" x14ac:dyDescent="0.2">
      <c r="A6" s="1" t="s">
        <v>68</v>
      </c>
      <c r="B6" s="5">
        <f>B4-B5</f>
        <v>22754000</v>
      </c>
      <c r="C6" s="1"/>
      <c r="D6" s="1"/>
      <c r="E6" s="1"/>
      <c r="F6" s="1"/>
      <c r="G6" s="1"/>
      <c r="H6" s="1"/>
    </row>
    <row r="7" spans="1:8" ht="16" x14ac:dyDescent="0.2">
      <c r="A7" s="1" t="s">
        <v>69</v>
      </c>
      <c r="B7" s="5">
        <f>FC_AMT*MAX(B3-K_CALL,0)</f>
        <v>0</v>
      </c>
      <c r="C7" s="1"/>
      <c r="D7" s="1"/>
      <c r="E7" s="1"/>
      <c r="F7" s="1"/>
      <c r="G7" s="1"/>
      <c r="H7" s="1"/>
    </row>
    <row r="8" spans="1:8" ht="16" x14ac:dyDescent="0.2">
      <c r="A8" s="1" t="s">
        <v>71</v>
      </c>
      <c r="B8" s="5">
        <f>FC_AMT*PREM_CALL</f>
        <v>480000</v>
      </c>
      <c r="C8" s="1"/>
      <c r="D8" s="1"/>
      <c r="E8" s="1"/>
      <c r="F8" s="1"/>
      <c r="G8" s="1"/>
      <c r="H8" s="1"/>
    </row>
    <row r="9" spans="1:8" ht="16" x14ac:dyDescent="0.2">
      <c r="A9" s="1" t="s">
        <v>72</v>
      </c>
      <c r="B9" s="5">
        <f>B7-B8</f>
        <v>-480000</v>
      </c>
      <c r="C9" s="1"/>
      <c r="D9" s="1"/>
      <c r="E9" s="1"/>
      <c r="F9" s="1"/>
      <c r="G9" s="1"/>
      <c r="H9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2" width="24" customWidth="1"/>
    <col min="3" max="8" width="18" customWidth="1"/>
    <col min="9" max="26" width="8.83203125" customWidth="1"/>
  </cols>
  <sheetData>
    <row r="1" spans="1:8" x14ac:dyDescent="0.2">
      <c r="A1" s="12" t="s">
        <v>86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16" x14ac:dyDescent="0.2">
      <c r="A3" s="10" t="s">
        <v>87</v>
      </c>
      <c r="B3" s="10" t="s">
        <v>88</v>
      </c>
      <c r="C3" s="10" t="s">
        <v>89</v>
      </c>
      <c r="D3" s="10" t="s">
        <v>90</v>
      </c>
      <c r="E3" s="10" t="s">
        <v>91</v>
      </c>
      <c r="F3" s="10" t="s">
        <v>92</v>
      </c>
      <c r="G3" s="1"/>
      <c r="H3" s="1"/>
    </row>
    <row r="4" spans="1:8" x14ac:dyDescent="0.2">
      <c r="A4" s="5">
        <f>S0_in*(1+(0-5)/100)</f>
        <v>1.098865</v>
      </c>
      <c r="B4" s="5">
        <f t="shared" ref="B4:B14" si="0">FC_AMT*A4</f>
        <v>21977300</v>
      </c>
      <c r="C4" s="5">
        <f>Forward!$B$3</f>
        <v>23329187.808393415</v>
      </c>
      <c r="D4" s="5">
        <f>Money_Market!$B$5</f>
        <v>23329187.808393415</v>
      </c>
      <c r="E4" s="5">
        <f t="shared" ref="E4:E14" si="1">FC_AMT*MAX(A4,K_PUT)-FC_AMT*PREM_PUT</f>
        <v>22754000</v>
      </c>
      <c r="F4" s="5">
        <f t="shared" ref="F4:F14" si="2">FC_AMT*MAX(A4-K_CALL,0)-FC_AMT*PREM_CALL</f>
        <v>-480000</v>
      </c>
      <c r="G4" s="1"/>
      <c r="H4" s="1"/>
    </row>
    <row r="5" spans="1:8" x14ac:dyDescent="0.2">
      <c r="A5" s="5">
        <f>S0_in*(1+(1-5)/100)</f>
        <v>1.1104320000000001</v>
      </c>
      <c r="B5" s="5">
        <f t="shared" si="0"/>
        <v>22208640</v>
      </c>
      <c r="C5" s="5">
        <f>Forward!$B$3</f>
        <v>23329187.808393415</v>
      </c>
      <c r="D5" s="5">
        <f>Money_Market!$B$5</f>
        <v>23329187.808393415</v>
      </c>
      <c r="E5" s="5">
        <f t="shared" si="1"/>
        <v>22754000</v>
      </c>
      <c r="F5" s="5">
        <f t="shared" si="2"/>
        <v>-480000</v>
      </c>
      <c r="G5" s="1"/>
      <c r="H5" s="1"/>
    </row>
    <row r="6" spans="1:8" x14ac:dyDescent="0.2">
      <c r="A6" s="5">
        <f>S0_in*(1+(2-5)/100)</f>
        <v>1.121999</v>
      </c>
      <c r="B6" s="5">
        <f t="shared" si="0"/>
        <v>22439980</v>
      </c>
      <c r="C6" s="5">
        <f>Forward!$B$3</f>
        <v>23329187.808393415</v>
      </c>
      <c r="D6" s="5">
        <f>Money_Market!$B$5</f>
        <v>23329187.808393415</v>
      </c>
      <c r="E6" s="5">
        <f t="shared" si="1"/>
        <v>22754000</v>
      </c>
      <c r="F6" s="5">
        <f t="shared" si="2"/>
        <v>-480000</v>
      </c>
      <c r="G6" s="1"/>
      <c r="H6" s="1"/>
    </row>
    <row r="7" spans="1:8" x14ac:dyDescent="0.2">
      <c r="A7" s="5">
        <f>S0_in*(1+(3-5)/100)</f>
        <v>1.1335660000000001</v>
      </c>
      <c r="B7" s="5">
        <f t="shared" si="0"/>
        <v>22671320</v>
      </c>
      <c r="C7" s="5">
        <f>Forward!$B$3</f>
        <v>23329187.808393415</v>
      </c>
      <c r="D7" s="5">
        <f>Money_Market!$B$5</f>
        <v>23329187.808393415</v>
      </c>
      <c r="E7" s="5">
        <f t="shared" si="1"/>
        <v>22754000</v>
      </c>
      <c r="F7" s="5">
        <f t="shared" si="2"/>
        <v>-480000</v>
      </c>
      <c r="G7" s="1"/>
      <c r="H7" s="1"/>
    </row>
    <row r="8" spans="1:8" x14ac:dyDescent="0.2">
      <c r="A8" s="5">
        <f>S0_in*(1+(4-5)/100)</f>
        <v>1.145133</v>
      </c>
      <c r="B8" s="5">
        <f t="shared" si="0"/>
        <v>22902660</v>
      </c>
      <c r="C8" s="5">
        <f>Forward!$B$3</f>
        <v>23329187.808393415</v>
      </c>
      <c r="D8" s="5">
        <f>Money_Market!$B$5</f>
        <v>23329187.808393415</v>
      </c>
      <c r="E8" s="5">
        <f t="shared" si="1"/>
        <v>22754000</v>
      </c>
      <c r="F8" s="5">
        <f t="shared" si="2"/>
        <v>-480000</v>
      </c>
      <c r="G8" s="1"/>
      <c r="H8" s="1"/>
    </row>
    <row r="9" spans="1:8" x14ac:dyDescent="0.2">
      <c r="A9" s="5">
        <f>S0_in*(1+(5-5)/100)</f>
        <v>1.1567000000000001</v>
      </c>
      <c r="B9" s="5">
        <f t="shared" si="0"/>
        <v>23134000</v>
      </c>
      <c r="C9" s="5">
        <f>Forward!$B$3</f>
        <v>23329187.808393415</v>
      </c>
      <c r="D9" s="5">
        <f>Money_Market!$B$5</f>
        <v>23329187.808393415</v>
      </c>
      <c r="E9" s="5">
        <f t="shared" si="1"/>
        <v>22754000</v>
      </c>
      <c r="F9" s="5">
        <f t="shared" si="2"/>
        <v>-480000</v>
      </c>
      <c r="G9" s="1"/>
      <c r="H9" s="1"/>
    </row>
    <row r="10" spans="1:8" x14ac:dyDescent="0.2">
      <c r="A10" s="5">
        <f>S0_in*(1+(6-5)/100)</f>
        <v>1.1682670000000002</v>
      </c>
      <c r="B10" s="5">
        <f t="shared" si="0"/>
        <v>23365340.000000004</v>
      </c>
      <c r="C10" s="5">
        <f>Forward!$B$3</f>
        <v>23329187.808393415</v>
      </c>
      <c r="D10" s="5">
        <f>Money_Market!$B$5</f>
        <v>23329187.808393415</v>
      </c>
      <c r="E10" s="5">
        <f t="shared" si="1"/>
        <v>22985340.000000004</v>
      </c>
      <c r="F10" s="5">
        <f t="shared" si="2"/>
        <v>-248659.9999999979</v>
      </c>
      <c r="G10" s="1"/>
      <c r="H10" s="1"/>
    </row>
    <row r="11" spans="1:8" x14ac:dyDescent="0.2">
      <c r="A11" s="5">
        <f>S0_in*(1+(7-5)/100)</f>
        <v>1.179834</v>
      </c>
      <c r="B11" s="5">
        <f t="shared" si="0"/>
        <v>23596680</v>
      </c>
      <c r="C11" s="5">
        <f>Forward!$B$3</f>
        <v>23329187.808393415</v>
      </c>
      <c r="D11" s="5">
        <f>Money_Market!$B$5</f>
        <v>23329187.808393415</v>
      </c>
      <c r="E11" s="5">
        <f t="shared" si="1"/>
        <v>23216680</v>
      </c>
      <c r="F11" s="5">
        <f t="shared" si="2"/>
        <v>-17320.000000000233</v>
      </c>
      <c r="G11" s="1"/>
      <c r="H11" s="1"/>
    </row>
    <row r="12" spans="1:8" x14ac:dyDescent="0.2">
      <c r="A12" s="5">
        <f>S0_in*(1+(8-5)/100)</f>
        <v>1.1914010000000002</v>
      </c>
      <c r="B12" s="5">
        <f t="shared" si="0"/>
        <v>23828020.000000004</v>
      </c>
      <c r="C12" s="5">
        <f>Forward!$B$3</f>
        <v>23329187.808393415</v>
      </c>
      <c r="D12" s="5">
        <f>Money_Market!$B$5</f>
        <v>23329187.808393415</v>
      </c>
      <c r="E12" s="5">
        <f t="shared" si="1"/>
        <v>23448020.000000004</v>
      </c>
      <c r="F12" s="5">
        <f t="shared" si="2"/>
        <v>214020.00000000186</v>
      </c>
      <c r="G12" s="1"/>
      <c r="H12" s="1"/>
    </row>
    <row r="13" spans="1:8" x14ac:dyDescent="0.2">
      <c r="A13" s="5">
        <f>S0_in*(1+(9-5)/100)</f>
        <v>1.202968</v>
      </c>
      <c r="B13" s="5">
        <f t="shared" si="0"/>
        <v>24059360</v>
      </c>
      <c r="C13" s="5">
        <f>Forward!$B$3</f>
        <v>23329187.808393415</v>
      </c>
      <c r="D13" s="5">
        <f>Money_Market!$B$5</f>
        <v>23329187.808393415</v>
      </c>
      <c r="E13" s="5">
        <f t="shared" si="1"/>
        <v>23679360</v>
      </c>
      <c r="F13" s="5">
        <f t="shared" si="2"/>
        <v>445359.99999999953</v>
      </c>
      <c r="G13" s="1"/>
      <c r="H13" s="1"/>
    </row>
    <row r="14" spans="1:8" x14ac:dyDescent="0.2">
      <c r="A14" s="5">
        <f>S0_in*(1+(10-5)/100)</f>
        <v>1.2145350000000001</v>
      </c>
      <c r="B14" s="5">
        <f t="shared" si="0"/>
        <v>24290700.000000004</v>
      </c>
      <c r="C14" s="5">
        <f>Forward!$B$3</f>
        <v>23329187.808393415</v>
      </c>
      <c r="D14" s="5">
        <f>Money_Market!$B$5</f>
        <v>23329187.808393415</v>
      </c>
      <c r="E14" s="5">
        <f t="shared" si="1"/>
        <v>23910700.000000004</v>
      </c>
      <c r="F14" s="5">
        <f t="shared" si="2"/>
        <v>676700.00000000163</v>
      </c>
      <c r="G14" s="1"/>
      <c r="H14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2" width="90" customWidth="1"/>
    <col min="3" max="8" width="18" customWidth="1"/>
    <col min="9" max="26" width="8.83203125" customWidth="1"/>
  </cols>
  <sheetData>
    <row r="1" spans="1:8" x14ac:dyDescent="0.2">
      <c r="A1" s="12" t="s">
        <v>73</v>
      </c>
      <c r="B1" s="13"/>
      <c r="C1" s="13"/>
      <c r="D1" s="13"/>
      <c r="E1" s="13"/>
      <c r="F1" s="13"/>
      <c r="G1" s="13"/>
      <c r="H1" s="13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16" x14ac:dyDescent="0.2">
      <c r="A3" s="3" t="s">
        <v>74</v>
      </c>
      <c r="B3" s="1" t="s">
        <v>75</v>
      </c>
      <c r="C3" s="1"/>
      <c r="D3" s="1"/>
      <c r="E3" s="1"/>
      <c r="F3" s="1"/>
      <c r="G3" s="1"/>
      <c r="H3" s="1"/>
    </row>
    <row r="4" spans="1:8" ht="16" x14ac:dyDescent="0.2">
      <c r="A4" s="3" t="s">
        <v>76</v>
      </c>
      <c r="B4" s="1" t="s">
        <v>77</v>
      </c>
      <c r="C4" s="1"/>
      <c r="D4" s="1"/>
      <c r="E4" s="1"/>
      <c r="F4" s="1"/>
      <c r="G4" s="1"/>
      <c r="H4" s="1"/>
    </row>
    <row r="5" spans="1:8" ht="32" x14ac:dyDescent="0.2">
      <c r="A5" s="3" t="s">
        <v>78</v>
      </c>
      <c r="B5" s="1" t="s">
        <v>79</v>
      </c>
      <c r="C5" s="1"/>
      <c r="D5" s="1"/>
      <c r="E5" s="1"/>
      <c r="F5" s="1"/>
      <c r="G5" s="1"/>
      <c r="H5" s="1"/>
    </row>
    <row r="6" spans="1:8" ht="16" x14ac:dyDescent="0.2">
      <c r="A6" s="3" t="s">
        <v>80</v>
      </c>
      <c r="B6" s="1" t="s">
        <v>81</v>
      </c>
      <c r="C6" s="1"/>
      <c r="D6" s="1"/>
      <c r="E6" s="1"/>
      <c r="F6" s="1"/>
      <c r="G6" s="1"/>
      <c r="H6" s="1"/>
    </row>
    <row r="7" spans="1:8" ht="16" x14ac:dyDescent="0.2">
      <c r="A7" s="3" t="s">
        <v>82</v>
      </c>
      <c r="B7" s="1" t="s">
        <v>83</v>
      </c>
      <c r="C7" s="1"/>
      <c r="D7" s="1"/>
      <c r="E7" s="1"/>
      <c r="F7" s="1"/>
      <c r="G7" s="1"/>
      <c r="H7" s="1"/>
    </row>
    <row r="8" spans="1:8" ht="16" x14ac:dyDescent="0.2">
      <c r="A8" s="3" t="s">
        <v>84</v>
      </c>
      <c r="B8" s="1" t="s">
        <v>85</v>
      </c>
      <c r="C8" s="1"/>
      <c r="D8" s="1"/>
      <c r="E8" s="1"/>
      <c r="F8" s="1"/>
      <c r="G8" s="1"/>
      <c r="H8" s="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Cover</vt:lpstr>
      <vt:lpstr>Legend_Key</vt:lpstr>
      <vt:lpstr>Inputs</vt:lpstr>
      <vt:lpstr>No_Hedge</vt:lpstr>
      <vt:lpstr>Forward</vt:lpstr>
      <vt:lpstr>Money_Market</vt:lpstr>
      <vt:lpstr>Options</vt:lpstr>
      <vt:lpstr>Sensitivity</vt:lpstr>
      <vt:lpstr>Notes_Assumptions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lily wilson</cp:lastModifiedBy>
  <dcterms:created xsi:type="dcterms:W3CDTF">2026-08-08T07:03:29Z</dcterms:created>
  <dcterms:modified xsi:type="dcterms:W3CDTF">2026-08-15T08:34:02Z</dcterms:modified>
</cp:coreProperties>
</file>